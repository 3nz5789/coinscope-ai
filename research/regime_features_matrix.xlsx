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Feature_Matrix" sheetId="2" state="visible" r:id="rId4"/>
    <sheet name="Shortlist_Top15" sheetId="3" state="visible" r:id="rId5"/>
    <sheet name="v3_Baseline" sheetId="4" state="visible" r:id="rId6"/>
    <sheet name="Gap_Analysis" sheetId="5" state="visible" r:id="rId7"/>
  </sheets>
  <definedNames>
    <definedName function="false" hidden="true" localSheetId="1" name="_xlnm._FilterDatabase" vbProcedure="false">Feature_Matrix!$A$1:$J$49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<sst xmlns="http://schemas.openxmlformats.org/spreadsheetml/2006/main" count="665" uniqueCount="312">
  <si>
    <t xml:space="preserve">[RESEARCH] ML — Best Features for Regime Detection</t>
  </si>
  <si>
    <t xml:space="preserve">Author</t>
  </si>
  <si>
    <t xml:space="preserve">Scoopy (Claude)</t>
  </si>
  <si>
    <t xml:space="preserve">Date</t>
  </si>
  <si>
    <t xml:space="preserve">2026-04-17</t>
  </si>
  <si>
    <t xml:space="preserve">Phase</t>
  </si>
  <si>
    <t xml:space="preserve">30-Day Testnet Validation (COI-41) — NO ENGINE CHANGES</t>
  </si>
  <si>
    <t xml:space="preserve">Source audit</t>
  </si>
  <si>
    <t xml:space="preserve">ml/regime_classifier_v3.py + ml/regime_label_dataset_v1.py</t>
  </si>
  <si>
    <t xml:space="preserve">Purpose</t>
  </si>
  <si>
    <t xml:space="preserve">Audit current v3 regime-classifier features and shortlist upgrade candidates for the post-validation cycle.</t>
  </si>
  <si>
    <t xml:space="preserve">Sheets</t>
  </si>
  <si>
    <t xml:space="preserve">  Feature_Matrix</t>
  </si>
  <si>
    <t xml:space="preserve">Full catalog: 17 v3 features + 29 upgrade candidates, all columns</t>
  </si>
  <si>
    <t xml:space="preserve">  Shortlist_Top15</t>
  </si>
  <si>
    <t xml:space="preserve">Ranked top-15 upgrade candidates (by separation lift × cost × crypto fit)</t>
  </si>
  <si>
    <t xml:space="preserve">  v3_Baseline</t>
  </si>
  <si>
    <t xml:space="preserve">Feature importance of current v3 model</t>
  </si>
  <si>
    <t xml:space="preserve">  Gap_Analysis</t>
  </si>
  <si>
    <t xml:space="preserve">Categories where v3 is strong vs. weak</t>
  </si>
  <si>
    <t xml:space="preserve">Important caveats</t>
  </si>
  <si>
    <t xml:space="preserve">  Label leakage</t>
  </si>
  <si>
    <t xml:space="preserve">v3 reports 97% accuracy vs rule-based labels — that ceiling is vs the labeler, not live PnL</t>
  </si>
  <si>
    <t xml:space="preserve">  Endpoint bug</t>
  </si>
  <si>
    <t xml:space="preserve">/regime/{symbol} still serves legacy HMM, NOT v3 model (separate bug, not research)</t>
  </si>
  <si>
    <t xml:space="preserve">  Compute</t>
  </si>
  <si>
    <t xml:space="preserve">VPIN, Hurst, BOCPD are the expensive features — cache / window-limit them</t>
  </si>
  <si>
    <t xml:space="preserve">Upgrade Priority Legend</t>
  </si>
  <si>
    <t xml:space="preserve">  P1 High</t>
  </si>
  <si>
    <t xml:space="preserve">Add first — high separation lift, low-to-medium cost, crypto-futures native</t>
  </si>
  <si>
    <t xml:space="preserve">  P2 Med</t>
  </si>
  <si>
    <t xml:space="preserve">Add after P1 shows lift — useful but incremental</t>
  </si>
  <si>
    <t xml:space="preserve">  P3 Low</t>
  </si>
  <si>
    <t xml:space="preserve">Research / nice-to-have — revisit when we move to v4</t>
  </si>
  <si>
    <t xml:space="preserve">  Keep</t>
  </si>
  <si>
    <t xml:space="preserve">Already in v3; retain</t>
  </si>
  <si>
    <t xml:space="preserve">Feature</t>
  </si>
  <si>
    <t xml:space="preserve">Category</t>
  </si>
  <si>
    <t xml:space="preserve">Formula / Definition</t>
  </si>
  <si>
    <t xml:space="preserve">Timeframe</t>
  </si>
  <si>
    <t xml:space="preserve">Compute Cost</t>
  </si>
  <si>
    <t xml:space="preserve">Regime Separation Rationale</t>
  </si>
  <si>
    <t xml:space="preserve">Primary Regime(s) Separated</t>
  </si>
  <si>
    <t xml:space="preserve">In v3 Today?</t>
  </si>
  <si>
    <t xml:space="preserve">Upgrade Priority</t>
  </si>
  <si>
    <t xml:space="preserve">Source / Reference</t>
  </si>
  <si>
    <t xml:space="preserve">log_ret</t>
  </si>
  <si>
    <t xml:space="preserve">Returns/Momentum</t>
  </si>
  <si>
    <t xml:space="preserve">log(close_t / close_{t-1})</t>
  </si>
  <si>
    <t xml:space="preserve">15m</t>
  </si>
  <si>
    <t xml:space="preserve">Low</t>
  </si>
  <si>
    <t xml:space="preserve">Baseline return; magnitude feeds momentum/vol features</t>
  </si>
  <si>
    <t xml:space="preserve">Quiet vs Volatile</t>
  </si>
  <si>
    <t xml:space="preserve">Yes</t>
  </si>
  <si>
    <t xml:space="preserve">Keep</t>
  </si>
  <si>
    <t xml:space="preserve">ml/regime_label_dataset_v1.py</t>
  </si>
  <si>
    <t xml:space="preserve">abs_ret</t>
  </si>
  <si>
    <t xml:space="preserve">|log_ret|</t>
  </si>
  <si>
    <t xml:space="preserve">Raw volatility proxy per bar</t>
  </si>
  <si>
    <t xml:space="preserve">roc_10</t>
  </si>
  <si>
    <t xml:space="preserve">(close_t - close_{t-10}) / close_{t-10}</t>
  </si>
  <si>
    <t xml:space="preserve">10-bar rate of change; directional speed</t>
  </si>
  <si>
    <t xml:space="preserve">Trending vs Mean-Reverting</t>
  </si>
  <si>
    <t xml:space="preserve">adx</t>
  </si>
  <si>
    <t xml:space="preserve">Trend</t>
  </si>
  <si>
    <t xml:space="preserve">Wilder ADX(14)</t>
  </si>
  <si>
    <t xml:space="preserve">Classic trend-strength indicator</t>
  </si>
  <si>
    <t xml:space="preserve">Trending vs others</t>
  </si>
  <si>
    <t xml:space="preserve">TA-Lib / Wilder (1978)</t>
  </si>
  <si>
    <t xml:space="preserve">di_split</t>
  </si>
  <si>
    <t xml:space="preserve">+DI - -DI (Wilder, 14)</t>
  </si>
  <si>
    <t xml:space="preserve">Directional component; sign of trend</t>
  </si>
  <si>
    <t xml:space="preserve">ema_align</t>
  </si>
  <si>
    <t xml:space="preserve">Count of EMA9&gt;EMA20&gt;EMA50&gt;EMA200 stacked (0-3)</t>
  </si>
  <si>
    <t xml:space="preserve">Multi-MA stack = trend persistence</t>
  </si>
  <si>
    <t xml:space="preserve">price_vs_ema50</t>
  </si>
  <si>
    <t xml:space="preserve">(close - EMA50) / EMA50</t>
  </si>
  <si>
    <t xml:space="preserve">% deviation from mid-term trend line</t>
  </si>
  <si>
    <t xml:space="preserve">price_vs_ema200</t>
  </si>
  <si>
    <t xml:space="preserve">(close - EMA200) / EMA200</t>
  </si>
  <si>
    <t xml:space="preserve">% deviation from long-term trend line</t>
  </si>
  <si>
    <t xml:space="preserve">macd_hist</t>
  </si>
  <si>
    <t xml:space="preserve">MACD(12,26) - Signal(9)</t>
  </si>
  <si>
    <t xml:space="preserve">Momentum acceleration / deceleration</t>
  </si>
  <si>
    <t xml:space="preserve">Appel (1970s)</t>
  </si>
  <si>
    <t xml:space="preserve">stoch_k</t>
  </si>
  <si>
    <t xml:space="preserve">Stochastic %K(14)</t>
  </si>
  <si>
    <t xml:space="preserve">Oscillator; high in trend-exhaust / low in oversold</t>
  </si>
  <si>
    <t xml:space="preserve">Mean-Reverting vs Trending</t>
  </si>
  <si>
    <t xml:space="preserve">Lane (1950s)</t>
  </si>
  <si>
    <t xml:space="preserve">atr_pct</t>
  </si>
  <si>
    <t xml:space="preserve">Volatility</t>
  </si>
  <si>
    <t xml:space="preserve">ATR(14) / close</t>
  </si>
  <si>
    <t xml:space="preserve">Volatility normalized by price</t>
  </si>
  <si>
    <t xml:space="preserve">Volatile vs Quiet</t>
  </si>
  <si>
    <t xml:space="preserve">Wilder (1978)</t>
  </si>
  <si>
    <t xml:space="preserve">atr_pct_zscore</t>
  </si>
  <si>
    <t xml:space="preserve">(atr_pct - rolling_mean(100)) / rolling_std(100)</t>
  </si>
  <si>
    <t xml:space="preserve">Standardized vol regime</t>
  </si>
  <si>
    <t xml:space="preserve">bb_width</t>
  </si>
  <si>
    <t xml:space="preserve">(BB_upper - BB_lower) / BB_mid  (20, 2)</t>
  </si>
  <si>
    <t xml:space="preserve">Bollinger width = dispersion</t>
  </si>
  <si>
    <t xml:space="preserve">Bollinger</t>
  </si>
  <si>
    <t xml:space="preserve">bb_width_zscore</t>
  </si>
  <si>
    <t xml:space="preserve">rolling z-score of bb_width (100)</t>
  </si>
  <si>
    <t xml:space="preserve">Relative BB squeeze / expansion</t>
  </si>
  <si>
    <t xml:space="preserve">bb_pct_b</t>
  </si>
  <si>
    <t xml:space="preserve">(close - BB_lower) / (BB_upper - BB_lower)</t>
  </si>
  <si>
    <t xml:space="preserve">Position inside bands (0-1)</t>
  </si>
  <si>
    <t xml:space="preserve">vol_of_vol</t>
  </si>
  <si>
    <t xml:space="preserve">rolling_std(50) of atr_pct</t>
  </si>
  <si>
    <t xml:space="preserve">Second-moment volatility stability</t>
  </si>
  <si>
    <t xml:space="preserve">Volatile vs Trending/Quiet</t>
  </si>
  <si>
    <t xml:space="preserve">vol_zscore</t>
  </si>
  <si>
    <t xml:space="preserve">Volume</t>
  </si>
  <si>
    <t xml:space="preserve">rolling z-score(50) of bar volume</t>
  </si>
  <si>
    <t xml:space="preserve">Unusual participation</t>
  </si>
  <si>
    <t xml:space="preserve">hurst_exponent_dfa</t>
  </si>
  <si>
    <t xml:space="preserve">Memory/Persistence</t>
  </si>
  <si>
    <t xml:space="preserve">DFA-estimated Hurst H on log returns, 100-bar window (H&gt;0.5 trending, H&lt;0.5 mean-reverting)</t>
  </si>
  <si>
    <t xml:space="preserve">15m/1h</t>
  </si>
  <si>
    <t xml:space="preserve">Medium</t>
  </si>
  <si>
    <t xml:space="preserve">Direct measurement of return persistence — the canonical trend vs mean-revert separator</t>
  </si>
  <si>
    <t xml:space="preserve">No</t>
  </si>
  <si>
    <t xml:space="preserve">P1 High</t>
  </si>
  <si>
    <t xml:space="preserve">MDPI Hurst GNN 2025; Harbourfront 2026</t>
  </si>
  <si>
    <t xml:space="preserve">variance_ratio_2_10</t>
  </si>
  <si>
    <t xml:space="preserve">Lo-MacKinlay VR(2,10): Var(r_t+r_{t+1}) / (2*Var(r_t)); VR&gt;1 trending, VR&lt;1 mean-revert</t>
  </si>
  <si>
    <t xml:space="preserve">Cheap Hurst complement; tests random-walk hypothesis</t>
  </si>
  <si>
    <t xml:space="preserve">Lo &amp; MacKinlay (1988)</t>
  </si>
  <si>
    <t xml:space="preserve">return_autocorr_lag1</t>
  </si>
  <si>
    <t xml:space="preserve">corr(r_t, r_{t-1}) rolling 50-bar</t>
  </si>
  <si>
    <t xml:space="preserve">Positive = trending, negative = mean-reverting</t>
  </si>
  <si>
    <t xml:space="preserve">Standard time-series stat</t>
  </si>
  <si>
    <t xml:space="preserve">return_autocorr_lag5</t>
  </si>
  <si>
    <t xml:space="preserve">corr(r_t, r_{t-5}) rolling 100-bar</t>
  </si>
  <si>
    <t xml:space="preserve">Medium-lag persistence; robust to tick noise</t>
  </si>
  <si>
    <t xml:space="preserve">P2 Med</t>
  </si>
  <si>
    <t xml:space="preserve">parkinson_rv</t>
  </si>
  <si>
    <t xml:space="preserve">Volatility (Realized)</t>
  </si>
  <si>
    <t xml:space="preserve">sqrt( sum( log(H/L)^2 ) / (4*N*ln2) )</t>
  </si>
  <si>
    <t xml:space="preserve">5x more efficient than close-to-close vol; better Volatile separator</t>
  </si>
  <si>
    <t xml:space="preserve">Parkinson (1980)</t>
  </si>
  <si>
    <t xml:space="preserve">garman_klass_rv</t>
  </si>
  <si>
    <t xml:space="preserve">GK: combines OHLC log-ranges; accounts for opening jump</t>
  </si>
  <si>
    <t xml:space="preserve">~7x efficient vs close-to-close; robust to drift</t>
  </si>
  <si>
    <t xml:space="preserve">Garman &amp; Klass (1980)</t>
  </si>
  <si>
    <t xml:space="preserve">rogers_satchell_rv</t>
  </si>
  <si>
    <t xml:space="preserve">RS estimator; drift-independent OHLC volatility</t>
  </si>
  <si>
    <t xml:space="preserve">Works in trending periods where GK/Parkinson biased downward</t>
  </si>
  <si>
    <t xml:space="preserve">Volatile vs Trending</t>
  </si>
  <si>
    <t xml:space="preserve">Rogers &amp; Satchell (1991)</t>
  </si>
  <si>
    <t xml:space="preserve">bipower_variation_jump</t>
  </si>
  <si>
    <t xml:space="preserve">BV = (π/2) * sum(|r_t| * |r_{t-1}|); jump = RV - BV</t>
  </si>
  <si>
    <t xml:space="preserve">Separates diffusive vol from jump vol — critical Volatile sub-regime split</t>
  </si>
  <si>
    <t xml:space="preserve">Volatile sub-regime</t>
  </si>
  <si>
    <t xml:space="preserve">Barndorff-Nielsen &amp; Shephard (2004)</t>
  </si>
  <si>
    <t xml:space="preserve">funding_rate_z168h</t>
  </si>
  <si>
    <t xml:space="preserve">Crypto-Microstructure</t>
  </si>
  <si>
    <t xml:space="preserve">(funding_rate - mean_168h) / std_168h</t>
  </si>
  <si>
    <t xml:space="preserve">8h</t>
  </si>
  <si>
    <t xml:space="preserve">Funding extremes mark crowded trends / mean-reversion setups</t>
  </si>
  <si>
    <t xml:space="preserve">Trending exhaustion</t>
  </si>
  <si>
    <t xml:space="preserve">Binance Futures; CoinGlass</t>
  </si>
  <si>
    <t xml:space="preserve">oi_delta_pct_1h</t>
  </si>
  <si>
    <t xml:space="preserve">(OI_t - OI_{t-1h}) / OI_{t-1h}</t>
  </si>
  <si>
    <t xml:space="preserve">1h</t>
  </si>
  <si>
    <t xml:space="preserve">Rising OI + rising price = trending; falling OI + range = quiet</t>
  </si>
  <si>
    <t xml:space="preserve">Trending vs Quiet</t>
  </si>
  <si>
    <t xml:space="preserve">Binance Futures OI API</t>
  </si>
  <si>
    <t xml:space="preserve">oi_delta_pct_4h</t>
  </si>
  <si>
    <t xml:space="preserve">(OI_t - OI_{t-4h}) / OI_{t-4h}</t>
  </si>
  <si>
    <t xml:space="preserve">4h</t>
  </si>
  <si>
    <t xml:space="preserve">Lower-noise OI momentum</t>
  </si>
  <si>
    <t xml:space="preserve">liq_volume_ratio_1h</t>
  </si>
  <si>
    <t xml:space="preserve">long_liq_usd / (long_liq_usd + short_liq_usd) over 1h</t>
  </si>
  <si>
    <t xml:space="preserve">Capitulation / short-squeeze detector; marks regime breaks</t>
  </si>
  <si>
    <t xml:space="preserve">Volatile / transitions</t>
  </si>
  <si>
    <t xml:space="preserve">CoinGlass / Coinalyze</t>
  </si>
  <si>
    <t xml:space="preserve">cvd_slope_50</t>
  </si>
  <si>
    <t xml:space="preserve">linear-fit slope of CVD over 50 bars</t>
  </si>
  <si>
    <t xml:space="preserve">Order-flow persistence; CVD-price divergence flags regime breaks</t>
  </si>
  <si>
    <t xml:space="preserve">Buildix orderflow guide</t>
  </si>
  <si>
    <t xml:space="preserve">cvd_price_divergence</t>
  </si>
  <si>
    <t xml:space="preserve">corr(cvd_slope, price_slope) lagged 20 bars</t>
  </si>
  <si>
    <t xml:space="preserve">Classic divergence indicator of exhausting trend</t>
  </si>
  <si>
    <t xml:space="preserve">bid_ask_spread_bps</t>
  </si>
  <si>
    <t xml:space="preserve">(ask - bid) / mid * 10000</t>
  </si>
  <si>
    <t xml:space="preserve">1m/15m</t>
  </si>
  <si>
    <t xml:space="preserve">Widening spread = volatile/thin regime; tight = quiet</t>
  </si>
  <si>
    <t xml:space="preserve">Easley et al. 2024</t>
  </si>
  <si>
    <t xml:space="preserve">book_imbalance_top5</t>
  </si>
  <si>
    <t xml:space="preserve">sum(bid_qty_1..5) / (sum(bid_qty_1..5) + sum(ask_qty_1..5))</t>
  </si>
  <si>
    <t xml:space="preserve">Pressure imbalance; strongly predicts short-horizon returns</t>
  </si>
  <si>
    <t xml:space="preserve">Short-horizon regimes</t>
  </si>
  <si>
    <t xml:space="preserve">P3 Low</t>
  </si>
  <si>
    <t xml:space="preserve">vpin_50</t>
  </si>
  <si>
    <t xml:space="preserve">VPIN (Easley) bucketed by volume; 50 buckets</t>
  </si>
  <si>
    <t xml:space="preserve">High</t>
  </si>
  <si>
    <t xml:space="preserve">Sustained VPIN&gt;0.6 = trending regime, disables mean-reversion strategies</t>
  </si>
  <si>
    <t xml:space="preserve">Trending confirmer</t>
  </si>
  <si>
    <t xml:space="preserve">Easley, López de Prado, O'Hara (2012); Buildix</t>
  </si>
  <si>
    <t xml:space="preserve">btc_corr_60</t>
  </si>
  <si>
    <t xml:space="preserve">Cross-Asset Context</t>
  </si>
  <si>
    <t xml:space="preserve">corr(r_asset, r_BTC) rolling 60 bars</t>
  </si>
  <si>
    <t xml:space="preserve">Alt regime depends on BTC regime; high corr = systemic move</t>
  </si>
  <si>
    <t xml:space="preserve">Volatile systemic</t>
  </si>
  <si>
    <t xml:space="preserve">Standard market-beta</t>
  </si>
  <si>
    <t xml:space="preserve">btc_dominance_delta_4h</t>
  </si>
  <si>
    <t xml:space="preserve">(BTC.D_t - BTC.D_{t-4h})</t>
  </si>
  <si>
    <t xml:space="preserve">Rising BTC.D = risk-off regime in alts</t>
  </si>
  <si>
    <t xml:space="preserve">Regime rotation</t>
  </si>
  <si>
    <t xml:space="preserve">CoinGecko / TradingView</t>
  </si>
  <si>
    <t xml:space="preserve">btc_realized_vol_1h</t>
  </si>
  <si>
    <t xml:space="preserve">Parkinson RV on BTC 1h bars, 24-bar lookback</t>
  </si>
  <si>
    <t xml:space="preserve">Shared-context vol regime for non-BTC symbols</t>
  </si>
  <si>
    <t xml:space="preserve">Derived from Parkinson RV</t>
  </si>
  <si>
    <t xml:space="preserve">spx_corr_daily</t>
  </si>
  <si>
    <t xml:space="preserve">corr(daily_r_asset, daily_r_SPX) 30-day</t>
  </si>
  <si>
    <t xml:space="preserve">1d</t>
  </si>
  <si>
    <t xml:space="preserve">Macro risk-on/off context for high-cap alts</t>
  </si>
  <si>
    <t xml:space="preserve">Macro regime</t>
  </si>
  <si>
    <t xml:space="preserve">Yahoo Finance / Polygon</t>
  </si>
  <si>
    <t xml:space="preserve">return_skew_100</t>
  </si>
  <si>
    <t xml:space="preserve">Distributional</t>
  </si>
  <si>
    <t xml:space="preserve">rolling skew of returns, 100-bar</t>
  </si>
  <si>
    <t xml:space="preserve">Negative skew = crash regime; positive = mania</t>
  </si>
  <si>
    <t xml:space="preserve">Standard moment statistic</t>
  </si>
  <si>
    <t xml:space="preserve">return_kurtosis_100</t>
  </si>
  <si>
    <t xml:space="preserve">rolling kurtosis of returns, 100-bar</t>
  </si>
  <si>
    <t xml:space="preserve">Fat tails distinguish Volatile from Trending</t>
  </si>
  <si>
    <t xml:space="preserve">tail_ratio_99_1</t>
  </si>
  <si>
    <t xml:space="preserve">percentile(r,99) / |percentile(r,1)| rolling 200</t>
  </si>
  <si>
    <t xml:space="preserve">Asymmetric tail risk; flags one-sided volatile regimes</t>
  </si>
  <si>
    <t xml:space="preserve">Standard tail statistic</t>
  </si>
  <si>
    <t xml:space="preserve">mtf_trend_agree_score</t>
  </si>
  <si>
    <t xml:space="preserve">Multi-Timeframe</t>
  </si>
  <si>
    <t xml:space="preserve">sign(EMA20 slope) agreement across 15m/1h/4h (0-3)</t>
  </si>
  <si>
    <t xml:space="preserve">MTF</t>
  </si>
  <si>
    <t xml:space="preserve">Distinguishes local chop from global trend</t>
  </si>
  <si>
    <t xml:space="preserve">Internal engine convention</t>
  </si>
  <si>
    <t xml:space="preserve">mtf_rsi_divergence</t>
  </si>
  <si>
    <t xml:space="preserve">RSI(14) 15m - RSI(14) 1h</t>
  </si>
  <si>
    <t xml:space="preserve">Cross-TF momentum conflict = regime transition</t>
  </si>
  <si>
    <t xml:space="preserve">Regime transitions</t>
  </si>
  <si>
    <t xml:space="preserve">mtf_vol_ratio_short_long</t>
  </si>
  <si>
    <t xml:space="preserve">ATR_15m / ATR_4h (normalized)</t>
  </si>
  <si>
    <t xml:space="preserve">Short-term vol spikes vs long baseline</t>
  </si>
  <si>
    <t xml:space="preserve">Derived</t>
  </si>
  <si>
    <t xml:space="preserve">shannon_entropy_returns</t>
  </si>
  <si>
    <t xml:space="preserve">Regime Transition</t>
  </si>
  <si>
    <t xml:space="preserve">Shannon entropy of binned returns rolling 100</t>
  </si>
  <si>
    <t xml:space="preserve">Drops before regime changes; early-warning indicator</t>
  </si>
  <si>
    <t xml:space="preserve">Transition early-warning</t>
  </si>
  <si>
    <t xml:space="preserve">Information theory, Shannon (1948)</t>
  </si>
  <si>
    <t xml:space="preserve">cusum_statistic</t>
  </si>
  <si>
    <t xml:space="preserve">Cumulative sum of demeaned returns; breach threshold = regime change</t>
  </si>
  <si>
    <t xml:space="preserve">Classic structural-break detector</t>
  </si>
  <si>
    <t xml:space="preserve">Transition detection</t>
  </si>
  <si>
    <t xml:space="preserve">Page (1954)</t>
  </si>
  <si>
    <t xml:space="preserve">bocpd_prob</t>
  </si>
  <si>
    <t xml:space="preserve">Bayesian Online Changepoint Detection probability</t>
  </si>
  <si>
    <t xml:space="preserve">Principled probabilistic regime-change signal</t>
  </si>
  <si>
    <t xml:space="preserve">Adams &amp; MacKay (2007)</t>
  </si>
  <si>
    <t xml:space="preserve">bb_squeeze_pct200</t>
  </si>
  <si>
    <t xml:space="preserve">percentile rank of bb_width over 200 bars</t>
  </si>
  <si>
    <t xml:space="preserve">Quiet-regime confirmer; precedes breakouts</t>
  </si>
  <si>
    <t xml:space="preserve">Keltner/Bollinger combo</t>
  </si>
  <si>
    <t xml:space="preserve">Rank</t>
  </si>
  <si>
    <t xml:space="preserve">Why</t>
  </si>
  <si>
    <t xml:space="preserve">Expected Lift</t>
  </si>
  <si>
    <t xml:space="preserve">Direct trending vs mean-reverting separator; v3 proxies this with ADX (noisy)</t>
  </si>
  <si>
    <t xml:space="preserve">Cheap Hurst complement; classic random-walk test</t>
  </si>
  <si>
    <t xml:space="preserve">5x more efficient than atr_pct; better Volatile separator</t>
  </si>
  <si>
    <t xml:space="preserve">Cheapest mean-reversion persistence signal</t>
  </si>
  <si>
    <t xml:space="preserve">Med</t>
  </si>
  <si>
    <t xml:space="preserve">Crypto-native regime signal; crowded trend detection</t>
  </si>
  <si>
    <t xml:space="preserve">Already computed in scanner — reuse; trending vs quiet</t>
  </si>
  <si>
    <t xml:space="preserve">Capitulation / squeeze detector — marks regime breaks</t>
  </si>
  <si>
    <t xml:space="preserve">Order-flow persistence; divergence flags regime transitions</t>
  </si>
  <si>
    <t xml:space="preserve">Separates diffusive vol from jump vol — critical Volatile sub-regime</t>
  </si>
  <si>
    <t xml:space="preserve">Fat-tail detector; separates Volatile from Trending</t>
  </si>
  <si>
    <t xml:space="preserve">Separates local chop from global trend</t>
  </si>
  <si>
    <t xml:space="preserve">Alt regime depends on BTC regime; systemic-move detector</t>
  </si>
  <si>
    <t xml:space="preserve">Sustained VPIN&gt;0.6 = trending; disables mean-reversion strategies</t>
  </si>
  <si>
    <t xml:space="preserve">Drops before regime changes; early-warning</t>
  </si>
  <si>
    <t xml:space="preserve">Feature Importance (avg RF+XGB)</t>
  </si>
  <si>
    <t xml:space="preserve">Notes</t>
  </si>
  <si>
    <t xml:space="preserve">Single most predictive feature — raises label-leakage concern</t>
  </si>
  <si>
    <t xml:space="preserve">Highly correlated with atr_pct</t>
  </si>
  <si>
    <t xml:space="preserve">Second-moment volatility</t>
  </si>
  <si>
    <t xml:space="preserve">Best trend feature</t>
  </si>
  <si>
    <t xml:space="preserve">Long-trend deviation</t>
  </si>
  <si>
    <t xml:space="preserve">All others (13)</t>
  </si>
  <si>
    <t xml:space="preserve">Mixed</t>
  </si>
  <si>
    <t xml:space="preserve">Sum of remaining features — none individually &gt;5%</t>
  </si>
  <si>
    <t xml:space="preserve">TOTAL</t>
  </si>
  <si>
    <t xml:space="preserve">Formula below</t>
  </si>
  <si>
    <t xml:space="preserve">v3 Features (count)</t>
  </si>
  <si>
    <t xml:space="preserve">Gap (what's missing)</t>
  </si>
  <si>
    <t xml:space="preserve">Priority to Close</t>
  </si>
  <si>
    <t xml:space="preserve">None critical — log_ret, abs_ret, roc_10 cover it</t>
  </si>
  <si>
    <t xml:space="preserve">Strong coverage — ADX, DI, EMA stack, MACD, Stoch all present</t>
  </si>
  <si>
    <t xml:space="preserve">Volatility (ATR/BB)</t>
  </si>
  <si>
    <t xml:space="preserve">ATR/BB covered but NO realized-vol estimators (Parkinson/GK/RS/BV)</t>
  </si>
  <si>
    <t xml:space="preserve">Only vol_zscore — no CVD, no book imbalance, no spread</t>
  </si>
  <si>
    <t xml:space="preserve">No Hurst, no variance ratio, no return autocorrelation — critical gap</t>
  </si>
  <si>
    <t xml:space="preserve">No funding, no OI, no liquidations, no VPIN — entire category missing</t>
  </si>
  <si>
    <t xml:space="preserve">No BTC correlation, no BTC.D, no SPX/DXY — regime is symbol-local today</t>
  </si>
  <si>
    <t xml:space="preserve">No skew, no kurtosis, no tail ratio — fat-tail detection missing</t>
  </si>
  <si>
    <t xml:space="preserve">All features single-timeframe — no MTF agreement scoring</t>
  </si>
  <si>
    <t xml:space="preserve">No entropy, CUSUM, or BOCPD — classifier predicts state, not change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</si>
</sst>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0B98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10B981"/>
      <name val="Arial"/>
      <family val="0"/>
      <charset val="1"/>
    </font>
    <font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A0E17"/>
        <bgColor rgb="FF000000"/>
      </patternFill>
    </fill>
    <fill>
      <patternFill patternType="solid">
        <fgColor rgb="FFF0F9FF"/>
        <bgColor rgb="FFF3F4F6"/>
      </patternFill>
    </fill>
    <fill>
      <patternFill patternType="solid">
        <fgColor rgb="FFDCFCE7"/>
        <bgColor rgb="FFCCFFCC"/>
      </patternFill>
    </fill>
    <fill>
      <patternFill patternType="solid">
        <fgColor rgb="FFFEF9C3"/>
        <bgColor rgb="FFFFFF99"/>
      </patternFill>
    </fill>
    <fill>
      <patternFill patternType="solid">
        <fgColor rgb="FFF3F4F6"/>
        <bgColor rgb="FFF0F9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0A0E17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F0F9FF"/>
          <bgColor rgb="FF000000"/>
        </patternFill>
      </fill>
    </dxf>
    <dxf>
      <fill>
        <patternFill patternType="solid">
          <fgColor rgb="FFF3F4F6"/>
          <bgColor rgb="FF000000"/>
        </patternFill>
      </fill>
    </dxf>
    <dxf>
      <fill>
        <patternFill patternType="solid">
          <fgColor rgb="FFFEF9C3"/>
          <bgColor rgb="FF000000"/>
        </patternFill>
      </fill>
    </dxf>
    <dxf>
      <fill>
        <patternFill patternType="solid">
          <fgColor rgb="FF10B981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0F9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9C3"/>
      <rgbColor rgb="FFDCFCE7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10B981"/>
      <rgbColor rgb="FF0A0E17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  <c r="B3" s="0" t="s">
        <v>2</v>
      </c>
    </row>
    <row r="4" customFormat="false" ht="15" hidden="false" customHeight="false" outlineLevel="0" collapsed="false">
      <c r="A4" s="2" t="s">
        <v>3</v>
      </c>
      <c r="B4" s="0" t="s">
        <v>4</v>
      </c>
    </row>
    <row r="5" customFormat="false" ht="15" hidden="false" customHeight="false" outlineLevel="0" collapsed="false">
      <c r="A5" s="2" t="s">
        <v>5</v>
      </c>
      <c r="B5" s="0" t="s">
        <v>6</v>
      </c>
    </row>
    <row r="6" customFormat="false" ht="15" hidden="false" customHeight="false" outlineLevel="0" collapsed="false">
      <c r="A6" s="2" t="s">
        <v>7</v>
      </c>
      <c r="B6" s="0" t="s">
        <v>8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2" t="s">
        <v>9</v>
      </c>
      <c r="B8" s="0" t="s">
        <v>10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2" t="s">
        <v>11</v>
      </c>
    </row>
    <row r="11" customFormat="false" ht="15" hidden="false" customHeight="false" outlineLevel="0" collapsed="false">
      <c r="A11" s="2" t="s">
        <v>12</v>
      </c>
      <c r="B11" s="0" t="s">
        <v>13</v>
      </c>
    </row>
    <row r="12" customFormat="false" ht="15" hidden="false" customHeight="false" outlineLevel="0" collapsed="false">
      <c r="A12" s="2" t="s">
        <v>14</v>
      </c>
      <c r="B12" s="0" t="s">
        <v>15</v>
      </c>
    </row>
    <row r="13" customFormat="false" ht="15" hidden="false" customHeight="false" outlineLevel="0" collapsed="false">
      <c r="A13" s="2" t="s">
        <v>16</v>
      </c>
      <c r="B13" s="0" t="s">
        <v>17</v>
      </c>
    </row>
    <row r="14" customFormat="false" ht="15" hidden="false" customHeight="false" outlineLevel="0" collapsed="false">
      <c r="A14" s="2" t="s">
        <v>18</v>
      </c>
      <c r="B14" s="0" t="s">
        <v>19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2" t="s">
        <v>20</v>
      </c>
    </row>
    <row r="17" customFormat="false" ht="15" hidden="false" customHeight="false" outlineLevel="0" collapsed="false">
      <c r="A17" s="2" t="s">
        <v>21</v>
      </c>
      <c r="B17" s="0" t="s">
        <v>22</v>
      </c>
    </row>
    <row r="18" customFormat="false" ht="15" hidden="false" customHeight="false" outlineLevel="0" collapsed="false">
      <c r="A18" s="2" t="s">
        <v>23</v>
      </c>
      <c r="B18" s="0" t="s">
        <v>24</v>
      </c>
    </row>
    <row r="19" customFormat="false" ht="15" hidden="false" customHeight="false" outlineLevel="0" collapsed="false">
      <c r="A19" s="2" t="s">
        <v>25</v>
      </c>
      <c r="B19" s="0" t="s">
        <v>26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2" t="s">
        <v>27</v>
      </c>
    </row>
    <row r="22" customFormat="false" ht="15" hidden="false" customHeight="false" outlineLevel="0" collapsed="false">
      <c r="A22" s="2" t="s">
        <v>28</v>
      </c>
      <c r="B22" s="0" t="s">
        <v>29</v>
      </c>
    </row>
    <row r="23" customFormat="false" ht="15" hidden="false" customHeight="false" outlineLevel="0" collapsed="false">
      <c r="A23" s="2" t="s">
        <v>30</v>
      </c>
      <c r="B23" s="0" t="s">
        <v>31</v>
      </c>
    </row>
    <row r="24" customFormat="false" ht="15" hidden="false" customHeight="false" outlineLevel="0" collapsed="false">
      <c r="A24" s="2" t="s">
        <v>32</v>
      </c>
      <c r="B24" s="0" t="s">
        <v>33</v>
      </c>
    </row>
    <row r="25" customFormat="false" ht="15" hidden="false" customHeight="false" outlineLevel="0" collapsed="false">
      <c r="A25" s="2" t="s">
        <v>34</v>
      </c>
      <c r="B25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58"/>
    <col collapsed="false" customWidth="true" hidden="false" outlineLevel="0" max="5" min="4" style="0" width="10"/>
    <col collapsed="false" customWidth="true" hidden="false" outlineLevel="0" max="6" min="6" style="0" width="60"/>
    <col collapsed="false" customWidth="true" hidden="false" outlineLevel="0" max="7" min="7" style="0" width="34"/>
    <col collapsed="false" customWidth="true" hidden="false" outlineLevel="0" max="9" min="8" style="0" width="14"/>
    <col collapsed="false" customWidth="true" hidden="false" outlineLevel="0" max="10" min="10" style="0" width="42"/>
  </cols>
  <sheetData>
    <row r="1" customFormat="false" ht="39.55" hidden="false" customHeight="false" outlineLevel="0" collapsed="false">
      <c r="A1" s="3" t="s">
        <v>36</v>
      </c>
      <c r="B1" s="3" t="s">
        <v>37</v>
      </c>
      <c r="C1" s="3" t="s">
        <v>38</v>
      </c>
      <c r="D1" s="3" t="s">
        <v>39</v>
      </c>
      <c r="E1" s="3" t="s">
        <v>40</v>
      </c>
      <c r="F1" s="3" t="s">
        <v>41</v>
      </c>
      <c r="G1" s="3" t="s">
        <v>42</v>
      </c>
      <c r="H1" s="3" t="s">
        <v>43</v>
      </c>
      <c r="I1" s="3" t="s">
        <v>44</v>
      </c>
      <c r="J1" s="3" t="s">
        <v>45</v>
      </c>
    </row>
    <row r="2" customFormat="false" ht="15" hidden="false" customHeight="false" outlineLevel="0" collapsed="false">
      <c r="A2" s="4" t="s">
        <v>46</v>
      </c>
      <c r="B2" s="4" t="s">
        <v>47</v>
      </c>
      <c r="C2" s="4" t="s">
        <v>48</v>
      </c>
      <c r="D2" s="4" t="s">
        <v>49</v>
      </c>
      <c r="E2" s="4" t="s">
        <v>50</v>
      </c>
      <c r="F2" s="4" t="s">
        <v>51</v>
      </c>
      <c r="G2" s="4" t="s">
        <v>52</v>
      </c>
      <c r="H2" s="4" t="s">
        <v>53</v>
      </c>
      <c r="I2" s="4" t="s">
        <v>54</v>
      </c>
      <c r="J2" s="4" t="s">
        <v>55</v>
      </c>
    </row>
    <row r="3" customFormat="false" ht="15" hidden="false" customHeight="false" outlineLevel="0" collapsed="false">
      <c r="A3" s="4" t="s">
        <v>56</v>
      </c>
      <c r="B3" s="4" t="s">
        <v>47</v>
      </c>
      <c r="C3" s="4" t="s">
        <v>57</v>
      </c>
      <c r="D3" s="4" t="s">
        <v>49</v>
      </c>
      <c r="E3" s="4" t="s">
        <v>50</v>
      </c>
      <c r="F3" s="4" t="s">
        <v>58</v>
      </c>
      <c r="G3" s="4" t="s">
        <v>52</v>
      </c>
      <c r="H3" s="4" t="s">
        <v>53</v>
      </c>
      <c r="I3" s="4" t="s">
        <v>54</v>
      </c>
      <c r="J3" s="4" t="s">
        <v>55</v>
      </c>
    </row>
    <row r="4" customFormat="false" ht="15" hidden="false" customHeight="false" outlineLevel="0" collapsed="false">
      <c r="A4" s="4" t="s">
        <v>59</v>
      </c>
      <c r="B4" s="4" t="s">
        <v>47</v>
      </c>
      <c r="C4" s="4" t="s">
        <v>60</v>
      </c>
      <c r="D4" s="4" t="s">
        <v>49</v>
      </c>
      <c r="E4" s="4" t="s">
        <v>50</v>
      </c>
      <c r="F4" s="4" t="s">
        <v>61</v>
      </c>
      <c r="G4" s="4" t="s">
        <v>62</v>
      </c>
      <c r="H4" s="4" t="s">
        <v>53</v>
      </c>
      <c r="I4" s="4" t="s">
        <v>54</v>
      </c>
      <c r="J4" s="4" t="s">
        <v>55</v>
      </c>
    </row>
    <row r="5" customFormat="false" ht="15" hidden="false" customHeight="false" outlineLevel="0" collapsed="false">
      <c r="A5" s="4" t="s">
        <v>63</v>
      </c>
      <c r="B5" s="4" t="s">
        <v>64</v>
      </c>
      <c r="C5" s="4" t="s">
        <v>65</v>
      </c>
      <c r="D5" s="4" t="s">
        <v>49</v>
      </c>
      <c r="E5" s="4" t="s">
        <v>50</v>
      </c>
      <c r="F5" s="4" t="s">
        <v>66</v>
      </c>
      <c r="G5" s="4" t="s">
        <v>67</v>
      </c>
      <c r="H5" s="4" t="s">
        <v>53</v>
      </c>
      <c r="I5" s="4" t="s">
        <v>54</v>
      </c>
      <c r="J5" s="4" t="s">
        <v>68</v>
      </c>
    </row>
    <row r="6" customFormat="false" ht="15" hidden="false" customHeight="false" outlineLevel="0" collapsed="false">
      <c r="A6" s="4" t="s">
        <v>69</v>
      </c>
      <c r="B6" s="4" t="s">
        <v>64</v>
      </c>
      <c r="C6" s="4" t="s">
        <v>70</v>
      </c>
      <c r="D6" s="4" t="s">
        <v>49</v>
      </c>
      <c r="E6" s="4" t="s">
        <v>50</v>
      </c>
      <c r="F6" s="4" t="s">
        <v>71</v>
      </c>
      <c r="G6" s="4" t="s">
        <v>62</v>
      </c>
      <c r="H6" s="4" t="s">
        <v>53</v>
      </c>
      <c r="I6" s="4" t="s">
        <v>54</v>
      </c>
      <c r="J6" s="4" t="s">
        <v>68</v>
      </c>
    </row>
    <row r="7" customFormat="false" ht="15" hidden="false" customHeight="false" outlineLevel="0" collapsed="false">
      <c r="A7" s="4" t="s">
        <v>72</v>
      </c>
      <c r="B7" s="4" t="s">
        <v>64</v>
      </c>
      <c r="C7" s="4" t="s">
        <v>73</v>
      </c>
      <c r="D7" s="4" t="s">
        <v>49</v>
      </c>
      <c r="E7" s="4" t="s">
        <v>50</v>
      </c>
      <c r="F7" s="4" t="s">
        <v>74</v>
      </c>
      <c r="G7" s="4" t="s">
        <v>67</v>
      </c>
      <c r="H7" s="4" t="s">
        <v>53</v>
      </c>
      <c r="I7" s="4" t="s">
        <v>54</v>
      </c>
      <c r="J7" s="4" t="s">
        <v>55</v>
      </c>
    </row>
    <row r="8" customFormat="false" ht="15" hidden="false" customHeight="false" outlineLevel="0" collapsed="false">
      <c r="A8" s="4" t="s">
        <v>75</v>
      </c>
      <c r="B8" s="4" t="s">
        <v>64</v>
      </c>
      <c r="C8" s="4" t="s">
        <v>76</v>
      </c>
      <c r="D8" s="4" t="s">
        <v>49</v>
      </c>
      <c r="E8" s="4" t="s">
        <v>50</v>
      </c>
      <c r="F8" s="4" t="s">
        <v>77</v>
      </c>
      <c r="G8" s="4" t="s">
        <v>62</v>
      </c>
      <c r="H8" s="4" t="s">
        <v>53</v>
      </c>
      <c r="I8" s="4" t="s">
        <v>54</v>
      </c>
      <c r="J8" s="4" t="s">
        <v>55</v>
      </c>
    </row>
    <row r="9" customFormat="false" ht="15" hidden="false" customHeight="false" outlineLevel="0" collapsed="false">
      <c r="A9" s="4" t="s">
        <v>78</v>
      </c>
      <c r="B9" s="4" t="s">
        <v>64</v>
      </c>
      <c r="C9" s="4" t="s">
        <v>79</v>
      </c>
      <c r="D9" s="4" t="s">
        <v>49</v>
      </c>
      <c r="E9" s="4" t="s">
        <v>50</v>
      </c>
      <c r="F9" s="4" t="s">
        <v>80</v>
      </c>
      <c r="G9" s="4" t="s">
        <v>62</v>
      </c>
      <c r="H9" s="4" t="s">
        <v>53</v>
      </c>
      <c r="I9" s="4" t="s">
        <v>54</v>
      </c>
      <c r="J9" s="4" t="s">
        <v>55</v>
      </c>
    </row>
    <row r="10" customFormat="false" ht="15" hidden="false" customHeight="false" outlineLevel="0" collapsed="false">
      <c r="A10" s="4" t="s">
        <v>81</v>
      </c>
      <c r="B10" s="4" t="s">
        <v>64</v>
      </c>
      <c r="C10" s="4" t="s">
        <v>82</v>
      </c>
      <c r="D10" s="4" t="s">
        <v>49</v>
      </c>
      <c r="E10" s="4" t="s">
        <v>50</v>
      </c>
      <c r="F10" s="4" t="s">
        <v>83</v>
      </c>
      <c r="G10" s="4" t="s">
        <v>62</v>
      </c>
      <c r="H10" s="4" t="s">
        <v>53</v>
      </c>
      <c r="I10" s="4" t="s">
        <v>54</v>
      </c>
      <c r="J10" s="4" t="s">
        <v>84</v>
      </c>
    </row>
    <row r="11" customFormat="false" ht="15" hidden="false" customHeight="false" outlineLevel="0" collapsed="false">
      <c r="A11" s="4" t="s">
        <v>85</v>
      </c>
      <c r="B11" s="4" t="s">
        <v>64</v>
      </c>
      <c r="C11" s="4" t="s">
        <v>86</v>
      </c>
      <c r="D11" s="4" t="s">
        <v>49</v>
      </c>
      <c r="E11" s="4" t="s">
        <v>50</v>
      </c>
      <c r="F11" s="4" t="s">
        <v>87</v>
      </c>
      <c r="G11" s="4" t="s">
        <v>88</v>
      </c>
      <c r="H11" s="4" t="s">
        <v>53</v>
      </c>
      <c r="I11" s="4" t="s">
        <v>54</v>
      </c>
      <c r="J11" s="4" t="s">
        <v>89</v>
      </c>
    </row>
    <row r="12" customFormat="false" ht="15" hidden="false" customHeight="false" outlineLevel="0" collapsed="false">
      <c r="A12" s="4" t="s">
        <v>90</v>
      </c>
      <c r="B12" s="4" t="s">
        <v>91</v>
      </c>
      <c r="C12" s="4" t="s">
        <v>92</v>
      </c>
      <c r="D12" s="4" t="s">
        <v>49</v>
      </c>
      <c r="E12" s="4" t="s">
        <v>50</v>
      </c>
      <c r="F12" s="4" t="s">
        <v>93</v>
      </c>
      <c r="G12" s="4" t="s">
        <v>94</v>
      </c>
      <c r="H12" s="4" t="s">
        <v>53</v>
      </c>
      <c r="I12" s="4" t="s">
        <v>54</v>
      </c>
      <c r="J12" s="4" t="s">
        <v>95</v>
      </c>
    </row>
    <row r="13" customFormat="false" ht="15" hidden="false" customHeight="false" outlineLevel="0" collapsed="false">
      <c r="A13" s="4" t="s">
        <v>96</v>
      </c>
      <c r="B13" s="4" t="s">
        <v>91</v>
      </c>
      <c r="C13" s="4" t="s">
        <v>97</v>
      </c>
      <c r="D13" s="4" t="s">
        <v>49</v>
      </c>
      <c r="E13" s="4" t="s">
        <v>50</v>
      </c>
      <c r="F13" s="4" t="s">
        <v>98</v>
      </c>
      <c r="G13" s="4" t="s">
        <v>94</v>
      </c>
      <c r="H13" s="4" t="s">
        <v>53</v>
      </c>
      <c r="I13" s="4" t="s">
        <v>54</v>
      </c>
      <c r="J13" s="4" t="s">
        <v>55</v>
      </c>
    </row>
    <row r="14" customFormat="false" ht="15" hidden="false" customHeight="false" outlineLevel="0" collapsed="false">
      <c r="A14" s="4" t="s">
        <v>99</v>
      </c>
      <c r="B14" s="4" t="s">
        <v>91</v>
      </c>
      <c r="C14" s="4" t="s">
        <v>100</v>
      </c>
      <c r="D14" s="4" t="s">
        <v>49</v>
      </c>
      <c r="E14" s="4" t="s">
        <v>50</v>
      </c>
      <c r="F14" s="4" t="s">
        <v>101</v>
      </c>
      <c r="G14" s="4" t="s">
        <v>94</v>
      </c>
      <c r="H14" s="4" t="s">
        <v>53</v>
      </c>
      <c r="I14" s="4" t="s">
        <v>54</v>
      </c>
      <c r="J14" s="4" t="s">
        <v>102</v>
      </c>
    </row>
    <row r="15" customFormat="false" ht="15" hidden="false" customHeight="false" outlineLevel="0" collapsed="false">
      <c r="A15" s="4" t="s">
        <v>103</v>
      </c>
      <c r="B15" s="4" t="s">
        <v>91</v>
      </c>
      <c r="C15" s="4" t="s">
        <v>104</v>
      </c>
      <c r="D15" s="4" t="s">
        <v>49</v>
      </c>
      <c r="E15" s="4" t="s">
        <v>50</v>
      </c>
      <c r="F15" s="4" t="s">
        <v>105</v>
      </c>
      <c r="G15" s="4" t="s">
        <v>52</v>
      </c>
      <c r="H15" s="4" t="s">
        <v>53</v>
      </c>
      <c r="I15" s="4" t="s">
        <v>54</v>
      </c>
      <c r="J15" s="4" t="s">
        <v>55</v>
      </c>
    </row>
    <row r="16" customFormat="false" ht="15" hidden="false" customHeight="false" outlineLevel="0" collapsed="false">
      <c r="A16" s="4" t="s">
        <v>106</v>
      </c>
      <c r="B16" s="4" t="s">
        <v>91</v>
      </c>
      <c r="C16" s="4" t="s">
        <v>107</v>
      </c>
      <c r="D16" s="4" t="s">
        <v>49</v>
      </c>
      <c r="E16" s="4" t="s">
        <v>50</v>
      </c>
      <c r="F16" s="4" t="s">
        <v>108</v>
      </c>
      <c r="G16" s="4" t="s">
        <v>88</v>
      </c>
      <c r="H16" s="4" t="s">
        <v>53</v>
      </c>
      <c r="I16" s="4" t="s">
        <v>54</v>
      </c>
      <c r="J16" s="4" t="s">
        <v>102</v>
      </c>
    </row>
    <row r="17" customFormat="false" ht="15" hidden="false" customHeight="false" outlineLevel="0" collapsed="false">
      <c r="A17" s="4" t="s">
        <v>109</v>
      </c>
      <c r="B17" s="4" t="s">
        <v>91</v>
      </c>
      <c r="C17" s="4" t="s">
        <v>110</v>
      </c>
      <c r="D17" s="4" t="s">
        <v>49</v>
      </c>
      <c r="E17" s="4" t="s">
        <v>50</v>
      </c>
      <c r="F17" s="4" t="s">
        <v>111</v>
      </c>
      <c r="G17" s="4" t="s">
        <v>112</v>
      </c>
      <c r="H17" s="4" t="s">
        <v>53</v>
      </c>
      <c r="I17" s="4" t="s">
        <v>54</v>
      </c>
      <c r="J17" s="4" t="s">
        <v>55</v>
      </c>
    </row>
    <row r="18" customFormat="false" ht="15" hidden="false" customHeight="false" outlineLevel="0" collapsed="false">
      <c r="A18" s="4" t="s">
        <v>113</v>
      </c>
      <c r="B18" s="4" t="s">
        <v>114</v>
      </c>
      <c r="C18" s="4" t="s">
        <v>115</v>
      </c>
      <c r="D18" s="4" t="s">
        <v>49</v>
      </c>
      <c r="E18" s="4" t="s">
        <v>50</v>
      </c>
      <c r="F18" s="4" t="s">
        <v>116</v>
      </c>
      <c r="G18" s="4" t="s">
        <v>94</v>
      </c>
      <c r="H18" s="4" t="s">
        <v>53</v>
      </c>
      <c r="I18" s="4" t="s">
        <v>54</v>
      </c>
      <c r="J18" s="4" t="s">
        <v>55</v>
      </c>
    </row>
    <row r="19" customFormat="false" ht="23.85" hidden="false" customHeight="false" outlineLevel="0" collapsed="false">
      <c r="A19" s="5" t="s">
        <v>117</v>
      </c>
      <c r="B19" s="5" t="s">
        <v>118</v>
      </c>
      <c r="C19" s="5" t="s">
        <v>119</v>
      </c>
      <c r="D19" s="5" t="s">
        <v>120</v>
      </c>
      <c r="E19" s="5" t="s">
        <v>121</v>
      </c>
      <c r="F19" s="5" t="s">
        <v>122</v>
      </c>
      <c r="G19" s="5" t="s">
        <v>62</v>
      </c>
      <c r="H19" s="5" t="s">
        <v>123</v>
      </c>
      <c r="I19" s="5" t="s">
        <v>124</v>
      </c>
      <c r="J19" s="5" t="s">
        <v>125</v>
      </c>
    </row>
    <row r="20" customFormat="false" ht="23.85" hidden="false" customHeight="false" outlineLevel="0" collapsed="false">
      <c r="A20" s="5" t="s">
        <v>126</v>
      </c>
      <c r="B20" s="5" t="s">
        <v>118</v>
      </c>
      <c r="C20" s="5" t="s">
        <v>127</v>
      </c>
      <c r="D20" s="5" t="s">
        <v>120</v>
      </c>
      <c r="E20" s="5" t="s">
        <v>50</v>
      </c>
      <c r="F20" s="5" t="s">
        <v>128</v>
      </c>
      <c r="G20" s="5" t="s">
        <v>62</v>
      </c>
      <c r="H20" s="5" t="s">
        <v>123</v>
      </c>
      <c r="I20" s="5" t="s">
        <v>124</v>
      </c>
      <c r="J20" s="5" t="s">
        <v>129</v>
      </c>
    </row>
    <row r="21" customFormat="false" ht="15" hidden="false" customHeight="false" outlineLevel="0" collapsed="false">
      <c r="A21" s="5" t="s">
        <v>130</v>
      </c>
      <c r="B21" s="5" t="s">
        <v>118</v>
      </c>
      <c r="C21" s="5" t="s">
        <v>131</v>
      </c>
      <c r="D21" s="5" t="s">
        <v>49</v>
      </c>
      <c r="E21" s="5" t="s">
        <v>50</v>
      </c>
      <c r="F21" s="5" t="s">
        <v>132</v>
      </c>
      <c r="G21" s="5" t="s">
        <v>62</v>
      </c>
      <c r="H21" s="5" t="s">
        <v>123</v>
      </c>
      <c r="I21" s="5" t="s">
        <v>124</v>
      </c>
      <c r="J21" s="5" t="s">
        <v>133</v>
      </c>
    </row>
    <row r="22" customFormat="false" ht="15" hidden="false" customHeight="false" outlineLevel="0" collapsed="false">
      <c r="A22" s="6" t="s">
        <v>134</v>
      </c>
      <c r="B22" s="6" t="s">
        <v>118</v>
      </c>
      <c r="C22" s="6" t="s">
        <v>135</v>
      </c>
      <c r="D22" s="6" t="s">
        <v>49</v>
      </c>
      <c r="E22" s="6" t="s">
        <v>50</v>
      </c>
      <c r="F22" s="6" t="s">
        <v>136</v>
      </c>
      <c r="G22" s="6" t="s">
        <v>62</v>
      </c>
      <c r="H22" s="6" t="s">
        <v>123</v>
      </c>
      <c r="I22" s="6" t="s">
        <v>137</v>
      </c>
      <c r="J22" s="6" t="s">
        <v>133</v>
      </c>
    </row>
    <row r="23" customFormat="false" ht="15" hidden="false" customHeight="false" outlineLevel="0" collapsed="false">
      <c r="A23" s="5" t="s">
        <v>138</v>
      </c>
      <c r="B23" s="5" t="s">
        <v>139</v>
      </c>
      <c r="C23" s="5" t="s">
        <v>140</v>
      </c>
      <c r="D23" s="5" t="s">
        <v>120</v>
      </c>
      <c r="E23" s="5" t="s">
        <v>50</v>
      </c>
      <c r="F23" s="5" t="s">
        <v>141</v>
      </c>
      <c r="G23" s="5" t="s">
        <v>94</v>
      </c>
      <c r="H23" s="5" t="s">
        <v>123</v>
      </c>
      <c r="I23" s="5" t="s">
        <v>124</v>
      </c>
      <c r="J23" s="5" t="s">
        <v>142</v>
      </c>
    </row>
    <row r="24" customFormat="false" ht="15" hidden="false" customHeight="false" outlineLevel="0" collapsed="false">
      <c r="A24" s="6" t="s">
        <v>143</v>
      </c>
      <c r="B24" s="6" t="s">
        <v>139</v>
      </c>
      <c r="C24" s="6" t="s">
        <v>144</v>
      </c>
      <c r="D24" s="6" t="s">
        <v>120</v>
      </c>
      <c r="E24" s="6" t="s">
        <v>50</v>
      </c>
      <c r="F24" s="6" t="s">
        <v>145</v>
      </c>
      <c r="G24" s="6" t="s">
        <v>94</v>
      </c>
      <c r="H24" s="6" t="s">
        <v>123</v>
      </c>
      <c r="I24" s="6" t="s">
        <v>137</v>
      </c>
      <c r="J24" s="6" t="s">
        <v>146</v>
      </c>
    </row>
    <row r="25" customFormat="false" ht="15" hidden="false" customHeight="false" outlineLevel="0" collapsed="false">
      <c r="A25" s="6" t="s">
        <v>147</v>
      </c>
      <c r="B25" s="6" t="s">
        <v>139</v>
      </c>
      <c r="C25" s="6" t="s">
        <v>148</v>
      </c>
      <c r="D25" s="6" t="s">
        <v>120</v>
      </c>
      <c r="E25" s="6" t="s">
        <v>50</v>
      </c>
      <c r="F25" s="6" t="s">
        <v>149</v>
      </c>
      <c r="G25" s="6" t="s">
        <v>150</v>
      </c>
      <c r="H25" s="6" t="s">
        <v>123</v>
      </c>
      <c r="I25" s="6" t="s">
        <v>137</v>
      </c>
      <c r="J25" s="6" t="s">
        <v>151</v>
      </c>
    </row>
    <row r="26" customFormat="false" ht="15" hidden="false" customHeight="false" outlineLevel="0" collapsed="false">
      <c r="A26" s="6" t="s">
        <v>152</v>
      </c>
      <c r="B26" s="6" t="s">
        <v>139</v>
      </c>
      <c r="C26" s="6" t="s">
        <v>153</v>
      </c>
      <c r="D26" s="6" t="s">
        <v>120</v>
      </c>
      <c r="E26" s="6" t="s">
        <v>121</v>
      </c>
      <c r="F26" s="6" t="s">
        <v>154</v>
      </c>
      <c r="G26" s="6" t="s">
        <v>155</v>
      </c>
      <c r="H26" s="6" t="s">
        <v>123</v>
      </c>
      <c r="I26" s="6" t="s">
        <v>137</v>
      </c>
      <c r="J26" s="6" t="s">
        <v>156</v>
      </c>
    </row>
    <row r="27" customFormat="false" ht="15" hidden="false" customHeight="false" outlineLevel="0" collapsed="false">
      <c r="A27" s="5" t="s">
        <v>157</v>
      </c>
      <c r="B27" s="5" t="s">
        <v>158</v>
      </c>
      <c r="C27" s="5" t="s">
        <v>159</v>
      </c>
      <c r="D27" s="5" t="s">
        <v>160</v>
      </c>
      <c r="E27" s="5" t="s">
        <v>50</v>
      </c>
      <c r="F27" s="5" t="s">
        <v>161</v>
      </c>
      <c r="G27" s="5" t="s">
        <v>162</v>
      </c>
      <c r="H27" s="5" t="s">
        <v>123</v>
      </c>
      <c r="I27" s="5" t="s">
        <v>124</v>
      </c>
      <c r="J27" s="5" t="s">
        <v>163</v>
      </c>
    </row>
    <row r="28" customFormat="false" ht="15" hidden="false" customHeight="false" outlineLevel="0" collapsed="false">
      <c r="A28" s="5" t="s">
        <v>164</v>
      </c>
      <c r="B28" s="5" t="s">
        <v>158</v>
      </c>
      <c r="C28" s="5" t="s">
        <v>165</v>
      </c>
      <c r="D28" s="5" t="s">
        <v>166</v>
      </c>
      <c r="E28" s="5" t="s">
        <v>50</v>
      </c>
      <c r="F28" s="5" t="s">
        <v>167</v>
      </c>
      <c r="G28" s="5" t="s">
        <v>168</v>
      </c>
      <c r="H28" s="5" t="s">
        <v>123</v>
      </c>
      <c r="I28" s="5" t="s">
        <v>124</v>
      </c>
      <c r="J28" s="5" t="s">
        <v>169</v>
      </c>
    </row>
    <row r="29" customFormat="false" ht="15" hidden="false" customHeight="false" outlineLevel="0" collapsed="false">
      <c r="A29" s="6" t="s">
        <v>170</v>
      </c>
      <c r="B29" s="6" t="s">
        <v>158</v>
      </c>
      <c r="C29" s="6" t="s">
        <v>171</v>
      </c>
      <c r="D29" s="6" t="s">
        <v>172</v>
      </c>
      <c r="E29" s="6" t="s">
        <v>50</v>
      </c>
      <c r="F29" s="6" t="s">
        <v>173</v>
      </c>
      <c r="G29" s="6" t="s">
        <v>62</v>
      </c>
      <c r="H29" s="6" t="s">
        <v>123</v>
      </c>
      <c r="I29" s="6" t="s">
        <v>137</v>
      </c>
      <c r="J29" s="6" t="s">
        <v>169</v>
      </c>
    </row>
    <row r="30" customFormat="false" ht="15" hidden="false" customHeight="false" outlineLevel="0" collapsed="false">
      <c r="A30" s="6" t="s">
        <v>174</v>
      </c>
      <c r="B30" s="6" t="s">
        <v>158</v>
      </c>
      <c r="C30" s="6" t="s">
        <v>175</v>
      </c>
      <c r="D30" s="6" t="s">
        <v>166</v>
      </c>
      <c r="E30" s="6" t="s">
        <v>50</v>
      </c>
      <c r="F30" s="6" t="s">
        <v>176</v>
      </c>
      <c r="G30" s="6" t="s">
        <v>177</v>
      </c>
      <c r="H30" s="6" t="s">
        <v>123</v>
      </c>
      <c r="I30" s="6" t="s">
        <v>137</v>
      </c>
      <c r="J30" s="6" t="s">
        <v>178</v>
      </c>
    </row>
    <row r="31" customFormat="false" ht="15" hidden="false" customHeight="false" outlineLevel="0" collapsed="false">
      <c r="A31" s="5" t="s">
        <v>179</v>
      </c>
      <c r="B31" s="5" t="s">
        <v>158</v>
      </c>
      <c r="C31" s="5" t="s">
        <v>180</v>
      </c>
      <c r="D31" s="5" t="s">
        <v>49</v>
      </c>
      <c r="E31" s="5" t="s">
        <v>121</v>
      </c>
      <c r="F31" s="5" t="s">
        <v>181</v>
      </c>
      <c r="G31" s="5" t="s">
        <v>62</v>
      </c>
      <c r="H31" s="5" t="s">
        <v>123</v>
      </c>
      <c r="I31" s="5" t="s">
        <v>124</v>
      </c>
      <c r="J31" s="5" t="s">
        <v>182</v>
      </c>
    </row>
    <row r="32" customFormat="false" ht="15" hidden="false" customHeight="false" outlineLevel="0" collapsed="false">
      <c r="A32" s="6" t="s">
        <v>183</v>
      </c>
      <c r="B32" s="6" t="s">
        <v>158</v>
      </c>
      <c r="C32" s="6" t="s">
        <v>184</v>
      </c>
      <c r="D32" s="6" t="s">
        <v>49</v>
      </c>
      <c r="E32" s="6" t="s">
        <v>121</v>
      </c>
      <c r="F32" s="6" t="s">
        <v>185</v>
      </c>
      <c r="G32" s="6" t="s">
        <v>162</v>
      </c>
      <c r="H32" s="6" t="s">
        <v>123</v>
      </c>
      <c r="I32" s="6" t="s">
        <v>137</v>
      </c>
      <c r="J32" s="6" t="s">
        <v>182</v>
      </c>
    </row>
    <row r="33" customFormat="false" ht="15" hidden="false" customHeight="false" outlineLevel="0" collapsed="false">
      <c r="A33" s="6" t="s">
        <v>186</v>
      </c>
      <c r="B33" s="6" t="s">
        <v>158</v>
      </c>
      <c r="C33" s="6" t="s">
        <v>187</v>
      </c>
      <c r="D33" s="6" t="s">
        <v>188</v>
      </c>
      <c r="E33" s="6" t="s">
        <v>50</v>
      </c>
      <c r="F33" s="6" t="s">
        <v>189</v>
      </c>
      <c r="G33" s="6" t="s">
        <v>52</v>
      </c>
      <c r="H33" s="6" t="s">
        <v>123</v>
      </c>
      <c r="I33" s="6" t="s">
        <v>137</v>
      </c>
      <c r="J33" s="6" t="s">
        <v>190</v>
      </c>
    </row>
    <row r="34" customFormat="false" ht="15" hidden="false" customHeight="false" outlineLevel="0" collapsed="false">
      <c r="A34" s="7" t="s">
        <v>191</v>
      </c>
      <c r="B34" s="7" t="s">
        <v>158</v>
      </c>
      <c r="C34" s="7" t="s">
        <v>192</v>
      </c>
      <c r="D34" s="7" t="s">
        <v>188</v>
      </c>
      <c r="E34" s="7" t="s">
        <v>121</v>
      </c>
      <c r="F34" s="7" t="s">
        <v>193</v>
      </c>
      <c r="G34" s="7" t="s">
        <v>194</v>
      </c>
      <c r="H34" s="7" t="s">
        <v>123</v>
      </c>
      <c r="I34" s="7" t="s">
        <v>195</v>
      </c>
      <c r="J34" s="7" t="s">
        <v>190</v>
      </c>
    </row>
    <row r="35" customFormat="false" ht="23.85" hidden="false" customHeight="false" outlineLevel="0" collapsed="false">
      <c r="A35" s="5" t="s">
        <v>196</v>
      </c>
      <c r="B35" s="5" t="s">
        <v>158</v>
      </c>
      <c r="C35" s="5" t="s">
        <v>197</v>
      </c>
      <c r="D35" s="5" t="s">
        <v>49</v>
      </c>
      <c r="E35" s="5" t="s">
        <v>198</v>
      </c>
      <c r="F35" s="5" t="s">
        <v>199</v>
      </c>
      <c r="G35" s="5" t="s">
        <v>200</v>
      </c>
      <c r="H35" s="5" t="s">
        <v>123</v>
      </c>
      <c r="I35" s="5" t="s">
        <v>124</v>
      </c>
      <c r="J35" s="5" t="s">
        <v>201</v>
      </c>
    </row>
    <row r="36" customFormat="false" ht="15" hidden="false" customHeight="false" outlineLevel="0" collapsed="false">
      <c r="A36" s="5" t="s">
        <v>202</v>
      </c>
      <c r="B36" s="5" t="s">
        <v>203</v>
      </c>
      <c r="C36" s="5" t="s">
        <v>204</v>
      </c>
      <c r="D36" s="5" t="s">
        <v>120</v>
      </c>
      <c r="E36" s="5" t="s">
        <v>50</v>
      </c>
      <c r="F36" s="5" t="s">
        <v>205</v>
      </c>
      <c r="G36" s="5" t="s">
        <v>206</v>
      </c>
      <c r="H36" s="5" t="s">
        <v>123</v>
      </c>
      <c r="I36" s="5" t="s">
        <v>124</v>
      </c>
      <c r="J36" s="5" t="s">
        <v>207</v>
      </c>
    </row>
    <row r="37" customFormat="false" ht="15" hidden="false" customHeight="false" outlineLevel="0" collapsed="false">
      <c r="A37" s="6" t="s">
        <v>208</v>
      </c>
      <c r="B37" s="6" t="s">
        <v>203</v>
      </c>
      <c r="C37" s="6" t="s">
        <v>209</v>
      </c>
      <c r="D37" s="6" t="s">
        <v>172</v>
      </c>
      <c r="E37" s="6" t="s">
        <v>50</v>
      </c>
      <c r="F37" s="6" t="s">
        <v>210</v>
      </c>
      <c r="G37" s="6" t="s">
        <v>211</v>
      </c>
      <c r="H37" s="6" t="s">
        <v>123</v>
      </c>
      <c r="I37" s="6" t="s">
        <v>137</v>
      </c>
      <c r="J37" s="6" t="s">
        <v>212</v>
      </c>
    </row>
    <row r="38" customFormat="false" ht="15" hidden="false" customHeight="false" outlineLevel="0" collapsed="false">
      <c r="A38" s="6" t="s">
        <v>213</v>
      </c>
      <c r="B38" s="6" t="s">
        <v>203</v>
      </c>
      <c r="C38" s="6" t="s">
        <v>214</v>
      </c>
      <c r="D38" s="6" t="s">
        <v>166</v>
      </c>
      <c r="E38" s="6" t="s">
        <v>50</v>
      </c>
      <c r="F38" s="6" t="s">
        <v>215</v>
      </c>
      <c r="G38" s="6" t="s">
        <v>94</v>
      </c>
      <c r="H38" s="6" t="s">
        <v>123</v>
      </c>
      <c r="I38" s="6" t="s">
        <v>137</v>
      </c>
      <c r="J38" s="6" t="s">
        <v>216</v>
      </c>
    </row>
    <row r="39" customFormat="false" ht="15" hidden="false" customHeight="false" outlineLevel="0" collapsed="false">
      <c r="A39" s="7" t="s">
        <v>217</v>
      </c>
      <c r="B39" s="7" t="s">
        <v>203</v>
      </c>
      <c r="C39" s="7" t="s">
        <v>218</v>
      </c>
      <c r="D39" s="7" t="s">
        <v>219</v>
      </c>
      <c r="E39" s="7" t="s">
        <v>50</v>
      </c>
      <c r="F39" s="7" t="s">
        <v>220</v>
      </c>
      <c r="G39" s="7" t="s">
        <v>221</v>
      </c>
      <c r="H39" s="7" t="s">
        <v>123</v>
      </c>
      <c r="I39" s="7" t="s">
        <v>195</v>
      </c>
      <c r="J39" s="7" t="s">
        <v>222</v>
      </c>
    </row>
    <row r="40" customFormat="false" ht="15" hidden="false" customHeight="false" outlineLevel="0" collapsed="false">
      <c r="A40" s="6" t="s">
        <v>223</v>
      </c>
      <c r="B40" s="6" t="s">
        <v>224</v>
      </c>
      <c r="C40" s="6" t="s">
        <v>225</v>
      </c>
      <c r="D40" s="6" t="s">
        <v>49</v>
      </c>
      <c r="E40" s="6" t="s">
        <v>50</v>
      </c>
      <c r="F40" s="6" t="s">
        <v>226</v>
      </c>
      <c r="G40" s="6" t="s">
        <v>155</v>
      </c>
      <c r="H40" s="6" t="s">
        <v>123</v>
      </c>
      <c r="I40" s="6" t="s">
        <v>137</v>
      </c>
      <c r="J40" s="6" t="s">
        <v>227</v>
      </c>
    </row>
    <row r="41" customFormat="false" ht="15" hidden="false" customHeight="false" outlineLevel="0" collapsed="false">
      <c r="A41" s="5" t="s">
        <v>228</v>
      </c>
      <c r="B41" s="5" t="s">
        <v>224</v>
      </c>
      <c r="C41" s="5" t="s">
        <v>229</v>
      </c>
      <c r="D41" s="5" t="s">
        <v>49</v>
      </c>
      <c r="E41" s="5" t="s">
        <v>50</v>
      </c>
      <c r="F41" s="5" t="s">
        <v>230</v>
      </c>
      <c r="G41" s="5" t="s">
        <v>150</v>
      </c>
      <c r="H41" s="5" t="s">
        <v>123</v>
      </c>
      <c r="I41" s="5" t="s">
        <v>124</v>
      </c>
      <c r="J41" s="5" t="s">
        <v>227</v>
      </c>
    </row>
    <row r="42" customFormat="false" ht="15" hidden="false" customHeight="false" outlineLevel="0" collapsed="false">
      <c r="A42" s="7" t="s">
        <v>231</v>
      </c>
      <c r="B42" s="7" t="s">
        <v>224</v>
      </c>
      <c r="C42" s="7" t="s">
        <v>232</v>
      </c>
      <c r="D42" s="7" t="s">
        <v>49</v>
      </c>
      <c r="E42" s="7" t="s">
        <v>50</v>
      </c>
      <c r="F42" s="7" t="s">
        <v>233</v>
      </c>
      <c r="G42" s="7" t="s">
        <v>155</v>
      </c>
      <c r="H42" s="7" t="s">
        <v>123</v>
      </c>
      <c r="I42" s="7" t="s">
        <v>195</v>
      </c>
      <c r="J42" s="7" t="s">
        <v>234</v>
      </c>
    </row>
    <row r="43" customFormat="false" ht="15" hidden="false" customHeight="false" outlineLevel="0" collapsed="false">
      <c r="A43" s="5" t="s">
        <v>235</v>
      </c>
      <c r="B43" s="5" t="s">
        <v>236</v>
      </c>
      <c r="C43" s="5" t="s">
        <v>237</v>
      </c>
      <c r="D43" s="5" t="s">
        <v>238</v>
      </c>
      <c r="E43" s="5" t="s">
        <v>50</v>
      </c>
      <c r="F43" s="5" t="s">
        <v>239</v>
      </c>
      <c r="G43" s="5" t="s">
        <v>62</v>
      </c>
      <c r="H43" s="5" t="s">
        <v>123</v>
      </c>
      <c r="I43" s="5" t="s">
        <v>124</v>
      </c>
      <c r="J43" s="5" t="s">
        <v>240</v>
      </c>
    </row>
    <row r="44" customFormat="false" ht="15" hidden="false" customHeight="false" outlineLevel="0" collapsed="false">
      <c r="A44" s="7" t="s">
        <v>241</v>
      </c>
      <c r="B44" s="7" t="s">
        <v>236</v>
      </c>
      <c r="C44" s="7" t="s">
        <v>242</v>
      </c>
      <c r="D44" s="7" t="s">
        <v>238</v>
      </c>
      <c r="E44" s="7" t="s">
        <v>50</v>
      </c>
      <c r="F44" s="7" t="s">
        <v>243</v>
      </c>
      <c r="G44" s="7" t="s">
        <v>244</v>
      </c>
      <c r="H44" s="7" t="s">
        <v>123</v>
      </c>
      <c r="I44" s="7" t="s">
        <v>195</v>
      </c>
      <c r="J44" s="7" t="s">
        <v>240</v>
      </c>
    </row>
    <row r="45" customFormat="false" ht="15" hidden="false" customHeight="false" outlineLevel="0" collapsed="false">
      <c r="A45" s="6" t="s">
        <v>245</v>
      </c>
      <c r="B45" s="6" t="s">
        <v>236</v>
      </c>
      <c r="C45" s="6" t="s">
        <v>246</v>
      </c>
      <c r="D45" s="6" t="s">
        <v>238</v>
      </c>
      <c r="E45" s="6" t="s">
        <v>50</v>
      </c>
      <c r="F45" s="6" t="s">
        <v>247</v>
      </c>
      <c r="G45" s="6" t="s">
        <v>155</v>
      </c>
      <c r="H45" s="6" t="s">
        <v>123</v>
      </c>
      <c r="I45" s="6" t="s">
        <v>137</v>
      </c>
      <c r="J45" s="6" t="s">
        <v>248</v>
      </c>
    </row>
    <row r="46" customFormat="false" ht="15" hidden="false" customHeight="false" outlineLevel="0" collapsed="false">
      <c r="A46" s="6" t="s">
        <v>249</v>
      </c>
      <c r="B46" s="6" t="s">
        <v>250</v>
      </c>
      <c r="C46" s="6" t="s">
        <v>251</v>
      </c>
      <c r="D46" s="6" t="s">
        <v>49</v>
      </c>
      <c r="E46" s="6" t="s">
        <v>121</v>
      </c>
      <c r="F46" s="6" t="s">
        <v>252</v>
      </c>
      <c r="G46" s="6" t="s">
        <v>253</v>
      </c>
      <c r="H46" s="6" t="s">
        <v>123</v>
      </c>
      <c r="I46" s="6" t="s">
        <v>137</v>
      </c>
      <c r="J46" s="6" t="s">
        <v>254</v>
      </c>
    </row>
    <row r="47" customFormat="false" ht="23.85" hidden="false" customHeight="false" outlineLevel="0" collapsed="false">
      <c r="A47" s="6" t="s">
        <v>255</v>
      </c>
      <c r="B47" s="6" t="s">
        <v>250</v>
      </c>
      <c r="C47" s="6" t="s">
        <v>256</v>
      </c>
      <c r="D47" s="6" t="s">
        <v>49</v>
      </c>
      <c r="E47" s="6" t="s">
        <v>50</v>
      </c>
      <c r="F47" s="6" t="s">
        <v>257</v>
      </c>
      <c r="G47" s="6" t="s">
        <v>258</v>
      </c>
      <c r="H47" s="6" t="s">
        <v>123</v>
      </c>
      <c r="I47" s="6" t="s">
        <v>137</v>
      </c>
      <c r="J47" s="6" t="s">
        <v>259</v>
      </c>
    </row>
    <row r="48" customFormat="false" ht="15" hidden="false" customHeight="false" outlineLevel="0" collapsed="false">
      <c r="A48" s="7" t="s">
        <v>260</v>
      </c>
      <c r="B48" s="7" t="s">
        <v>250</v>
      </c>
      <c r="C48" s="7" t="s">
        <v>261</v>
      </c>
      <c r="D48" s="7" t="s">
        <v>49</v>
      </c>
      <c r="E48" s="7" t="s">
        <v>198</v>
      </c>
      <c r="F48" s="7" t="s">
        <v>262</v>
      </c>
      <c r="G48" s="7" t="s">
        <v>258</v>
      </c>
      <c r="H48" s="7" t="s">
        <v>123</v>
      </c>
      <c r="I48" s="7" t="s">
        <v>195</v>
      </c>
      <c r="J48" s="7" t="s">
        <v>263</v>
      </c>
    </row>
    <row r="49" customFormat="false" ht="15" hidden="false" customHeight="false" outlineLevel="0" collapsed="false">
      <c r="A49" s="5" t="s">
        <v>264</v>
      </c>
      <c r="B49" s="5" t="s">
        <v>91</v>
      </c>
      <c r="C49" s="5" t="s">
        <v>265</v>
      </c>
      <c r="D49" s="5" t="s">
        <v>49</v>
      </c>
      <c r="E49" s="5" t="s">
        <v>50</v>
      </c>
      <c r="F49" s="5" t="s">
        <v>266</v>
      </c>
      <c r="G49" s="5" t="s">
        <v>52</v>
      </c>
      <c r="H49" s="5" t="s">
        <v>123</v>
      </c>
      <c r="I49" s="5" t="s">
        <v>124</v>
      </c>
      <c r="J49" s="5" t="s">
        <v>267</v>
      </c>
    </row>
  </sheetData>
  <autoFilter ref="A1:J4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24"/>
    <col collapsed="false" customWidth="true" hidden="false" outlineLevel="0" max="4" min="4" style="0" width="72"/>
    <col collapsed="false" customWidth="true" hidden="false" outlineLevel="0" max="6" min="5" style="0" width="14"/>
  </cols>
  <sheetData>
    <row r="1" customFormat="false" ht="26.85" hidden="false" customHeight="false" outlineLevel="0" collapsed="false">
      <c r="A1" s="3" t="s">
        <v>268</v>
      </c>
      <c r="B1" s="3" t="s">
        <v>36</v>
      </c>
      <c r="C1" s="3" t="s">
        <v>37</v>
      </c>
      <c r="D1" s="3" t="s">
        <v>269</v>
      </c>
      <c r="E1" s="3" t="s">
        <v>40</v>
      </c>
      <c r="F1" s="3" t="s">
        <v>270</v>
      </c>
    </row>
    <row r="2" customFormat="false" ht="15" hidden="false" customHeight="false" outlineLevel="0" collapsed="false">
      <c r="A2" s="8" t="n">
        <v>1</v>
      </c>
      <c r="B2" s="9" t="s">
        <v>117</v>
      </c>
      <c r="C2" s="9" t="s">
        <v>118</v>
      </c>
      <c r="D2" s="9" t="s">
        <v>271</v>
      </c>
      <c r="E2" s="9" t="s">
        <v>121</v>
      </c>
      <c r="F2" s="9" t="s">
        <v>198</v>
      </c>
    </row>
    <row r="3" customFormat="false" ht="15" hidden="false" customHeight="false" outlineLevel="0" collapsed="false">
      <c r="A3" s="8" t="n">
        <v>2</v>
      </c>
      <c r="B3" s="9" t="s">
        <v>126</v>
      </c>
      <c r="C3" s="9" t="s">
        <v>118</v>
      </c>
      <c r="D3" s="9" t="s">
        <v>272</v>
      </c>
      <c r="E3" s="9" t="s">
        <v>50</v>
      </c>
      <c r="F3" s="9" t="s">
        <v>198</v>
      </c>
    </row>
    <row r="4" customFormat="false" ht="15" hidden="false" customHeight="false" outlineLevel="0" collapsed="false">
      <c r="A4" s="8" t="n">
        <v>3</v>
      </c>
      <c r="B4" s="9" t="s">
        <v>138</v>
      </c>
      <c r="C4" s="9" t="s">
        <v>139</v>
      </c>
      <c r="D4" s="9" t="s">
        <v>273</v>
      </c>
      <c r="E4" s="9" t="s">
        <v>50</v>
      </c>
      <c r="F4" s="9" t="s">
        <v>198</v>
      </c>
    </row>
    <row r="5" customFormat="false" ht="15" hidden="false" customHeight="false" outlineLevel="0" collapsed="false">
      <c r="A5" s="8" t="n">
        <v>4</v>
      </c>
      <c r="B5" s="9" t="s">
        <v>130</v>
      </c>
      <c r="C5" s="9" t="s">
        <v>118</v>
      </c>
      <c r="D5" s="9" t="s">
        <v>274</v>
      </c>
      <c r="E5" s="9" t="s">
        <v>50</v>
      </c>
      <c r="F5" s="9" t="s">
        <v>275</v>
      </c>
    </row>
    <row r="6" customFormat="false" ht="15" hidden="false" customHeight="false" outlineLevel="0" collapsed="false">
      <c r="A6" s="8" t="n">
        <v>5</v>
      </c>
      <c r="B6" s="9" t="s">
        <v>157</v>
      </c>
      <c r="C6" s="9" t="s">
        <v>158</v>
      </c>
      <c r="D6" s="9" t="s">
        <v>276</v>
      </c>
      <c r="E6" s="9" t="s">
        <v>50</v>
      </c>
      <c r="F6" s="9" t="s">
        <v>198</v>
      </c>
    </row>
    <row r="7" customFormat="false" ht="15" hidden="false" customHeight="false" outlineLevel="0" collapsed="false">
      <c r="A7" s="8" t="n">
        <v>6</v>
      </c>
      <c r="B7" s="9" t="s">
        <v>164</v>
      </c>
      <c r="C7" s="9" t="s">
        <v>158</v>
      </c>
      <c r="D7" s="9" t="s">
        <v>277</v>
      </c>
      <c r="E7" s="9" t="s">
        <v>50</v>
      </c>
      <c r="F7" s="9" t="s">
        <v>198</v>
      </c>
    </row>
    <row r="8" customFormat="false" ht="15" hidden="false" customHeight="false" outlineLevel="0" collapsed="false">
      <c r="A8" s="8" t="n">
        <v>7</v>
      </c>
      <c r="B8" s="9" t="s">
        <v>174</v>
      </c>
      <c r="C8" s="9" t="s">
        <v>158</v>
      </c>
      <c r="D8" s="9" t="s">
        <v>278</v>
      </c>
      <c r="E8" s="9" t="s">
        <v>50</v>
      </c>
      <c r="F8" s="9" t="s">
        <v>275</v>
      </c>
    </row>
    <row r="9" customFormat="false" ht="15" hidden="false" customHeight="false" outlineLevel="0" collapsed="false">
      <c r="A9" s="8" t="n">
        <v>8</v>
      </c>
      <c r="B9" s="9" t="s">
        <v>179</v>
      </c>
      <c r="C9" s="9" t="s">
        <v>158</v>
      </c>
      <c r="D9" s="9" t="s">
        <v>279</v>
      </c>
      <c r="E9" s="9" t="s">
        <v>121</v>
      </c>
      <c r="F9" s="9" t="s">
        <v>198</v>
      </c>
    </row>
    <row r="10" customFormat="false" ht="15" hidden="false" customHeight="false" outlineLevel="0" collapsed="false">
      <c r="A10" s="8" t="n">
        <v>9</v>
      </c>
      <c r="B10" s="9" t="s">
        <v>152</v>
      </c>
      <c r="C10" s="9" t="s">
        <v>139</v>
      </c>
      <c r="D10" s="9" t="s">
        <v>280</v>
      </c>
      <c r="E10" s="9" t="s">
        <v>121</v>
      </c>
      <c r="F10" s="9" t="s">
        <v>275</v>
      </c>
    </row>
    <row r="11" customFormat="false" ht="15" hidden="false" customHeight="false" outlineLevel="0" collapsed="false">
      <c r="A11" s="8" t="n">
        <v>10</v>
      </c>
      <c r="B11" s="9" t="s">
        <v>228</v>
      </c>
      <c r="C11" s="9" t="s">
        <v>224</v>
      </c>
      <c r="D11" s="9" t="s">
        <v>281</v>
      </c>
      <c r="E11" s="9" t="s">
        <v>50</v>
      </c>
      <c r="F11" s="9" t="s">
        <v>275</v>
      </c>
    </row>
    <row r="12" customFormat="false" ht="15" hidden="false" customHeight="false" outlineLevel="0" collapsed="false">
      <c r="A12" s="8" t="n">
        <v>11</v>
      </c>
      <c r="B12" s="9" t="s">
        <v>235</v>
      </c>
      <c r="C12" s="9" t="s">
        <v>236</v>
      </c>
      <c r="D12" s="9" t="s">
        <v>282</v>
      </c>
      <c r="E12" s="9" t="s">
        <v>50</v>
      </c>
      <c r="F12" s="9" t="s">
        <v>198</v>
      </c>
    </row>
    <row r="13" customFormat="false" ht="15" hidden="false" customHeight="false" outlineLevel="0" collapsed="false">
      <c r="A13" s="8" t="n">
        <v>12</v>
      </c>
      <c r="B13" s="9" t="s">
        <v>202</v>
      </c>
      <c r="C13" s="9" t="s">
        <v>203</v>
      </c>
      <c r="D13" s="9" t="s">
        <v>283</v>
      </c>
      <c r="E13" s="9" t="s">
        <v>50</v>
      </c>
      <c r="F13" s="9" t="s">
        <v>275</v>
      </c>
    </row>
    <row r="14" customFormat="false" ht="15" hidden="false" customHeight="false" outlineLevel="0" collapsed="false">
      <c r="A14" s="8" t="n">
        <v>13</v>
      </c>
      <c r="B14" s="9" t="s">
        <v>196</v>
      </c>
      <c r="C14" s="9" t="s">
        <v>158</v>
      </c>
      <c r="D14" s="9" t="s">
        <v>284</v>
      </c>
      <c r="E14" s="9" t="s">
        <v>198</v>
      </c>
      <c r="F14" s="9" t="s">
        <v>198</v>
      </c>
    </row>
    <row r="15" customFormat="false" ht="15" hidden="false" customHeight="false" outlineLevel="0" collapsed="false">
      <c r="A15" s="8" t="n">
        <v>14</v>
      </c>
      <c r="B15" s="9" t="s">
        <v>249</v>
      </c>
      <c r="C15" s="9" t="s">
        <v>250</v>
      </c>
      <c r="D15" s="9" t="s">
        <v>285</v>
      </c>
      <c r="E15" s="9" t="s">
        <v>121</v>
      </c>
      <c r="F15" s="9" t="s">
        <v>275</v>
      </c>
    </row>
    <row r="16" customFormat="false" ht="15" hidden="false" customHeight="false" outlineLevel="0" collapsed="false">
      <c r="A16" s="8" t="n">
        <v>15</v>
      </c>
      <c r="B16" s="9" t="s">
        <v>264</v>
      </c>
      <c r="C16" s="9" t="s">
        <v>91</v>
      </c>
      <c r="D16" s="9" t="s">
        <v>266</v>
      </c>
      <c r="E16" s="9" t="s">
        <v>50</v>
      </c>
      <c r="F16" s="9" t="s">
        <v>275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32"/>
    <col collapsed="false" customWidth="true" hidden="false" outlineLevel="0" max="4" min="4" style="0" width="60"/>
  </cols>
  <sheetData>
    <row r="1" customFormat="false" ht="26.85" hidden="false" customHeight="false" outlineLevel="0" collapsed="false">
      <c r="A1" s="3" t="s">
        <v>36</v>
      </c>
      <c r="B1" s="3" t="s">
        <v>37</v>
      </c>
      <c r="C1" s="3" t="s">
        <v>286</v>
      </c>
      <c r="D1" s="3" t="s">
        <v>287</v>
      </c>
    </row>
    <row r="2" customFormat="false" ht="15" hidden="false" customHeight="false" outlineLevel="0" collapsed="false">
      <c r="A2" s="9" t="s">
        <v>90</v>
      </c>
      <c r="B2" s="9" t="s">
        <v>91</v>
      </c>
      <c r="C2" s="10" t="n">
        <v>0.3477</v>
      </c>
      <c r="D2" s="9" t="s">
        <v>288</v>
      </c>
    </row>
    <row r="3" customFormat="false" ht="15" hidden="false" customHeight="false" outlineLevel="0" collapsed="false">
      <c r="A3" s="9" t="s">
        <v>99</v>
      </c>
      <c r="B3" s="9" t="s">
        <v>91</v>
      </c>
      <c r="C3" s="10" t="n">
        <v>0.1892</v>
      </c>
      <c r="D3" s="9" t="s">
        <v>289</v>
      </c>
    </row>
    <row r="4" customFormat="false" ht="15" hidden="false" customHeight="false" outlineLevel="0" collapsed="false">
      <c r="A4" s="9" t="s">
        <v>109</v>
      </c>
      <c r="B4" s="9" t="s">
        <v>91</v>
      </c>
      <c r="C4" s="10" t="n">
        <v>0.1051</v>
      </c>
      <c r="D4" s="9" t="s">
        <v>290</v>
      </c>
    </row>
    <row r="5" customFormat="false" ht="15" hidden="false" customHeight="false" outlineLevel="0" collapsed="false">
      <c r="A5" s="9" t="s">
        <v>63</v>
      </c>
      <c r="B5" s="9" t="s">
        <v>64</v>
      </c>
      <c r="C5" s="10" t="n">
        <v>0.0906</v>
      </c>
      <c r="D5" s="9" t="s">
        <v>291</v>
      </c>
    </row>
    <row r="6" customFormat="false" ht="15" hidden="false" customHeight="false" outlineLevel="0" collapsed="false">
      <c r="A6" s="9" t="s">
        <v>78</v>
      </c>
      <c r="B6" s="9" t="s">
        <v>64</v>
      </c>
      <c r="C6" s="10" t="n">
        <v>0.0826</v>
      </c>
      <c r="D6" s="9" t="s">
        <v>292</v>
      </c>
    </row>
    <row r="7" customFormat="false" ht="15" hidden="false" customHeight="false" outlineLevel="0" collapsed="false">
      <c r="A7" s="9" t="s">
        <v>293</v>
      </c>
      <c r="B7" s="9" t="s">
        <v>294</v>
      </c>
      <c r="C7" s="10" t="n">
        <v>0.1848</v>
      </c>
      <c r="D7" s="9" t="s">
        <v>295</v>
      </c>
    </row>
    <row r="8" customFormat="false" ht="15" hidden="false" customHeight="false" outlineLevel="0" collapsed="false">
      <c r="A8" s="9" t="s">
        <v>296</v>
      </c>
      <c r="B8" s="9"/>
      <c r="C8" s="10" t="n">
        <f aca="false">SUM(C2:C7)</f>
        <v>1</v>
      </c>
      <c r="D8" s="9" t="s">
        <v>297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78"/>
    <col collapsed="false" customWidth="true" hidden="false" outlineLevel="0" max="4" min="4" style="0" width="16"/>
  </cols>
  <sheetData>
    <row r="1" customFormat="false" ht="26.85" hidden="false" customHeight="false" outlineLevel="0" collapsed="false">
      <c r="A1" s="3" t="s">
        <v>37</v>
      </c>
      <c r="B1" s="3" t="s">
        <v>298</v>
      </c>
      <c r="C1" s="3" t="s">
        <v>299</v>
      </c>
      <c r="D1" s="3" t="s">
        <v>300</v>
      </c>
    </row>
    <row r="2" customFormat="false" ht="15" hidden="false" customHeight="false" outlineLevel="0" collapsed="false">
      <c r="A2" s="9" t="s">
        <v>47</v>
      </c>
      <c r="B2" s="9" t="n">
        <v>3</v>
      </c>
      <c r="C2" s="9" t="s">
        <v>301</v>
      </c>
      <c r="D2" s="9" t="s">
        <v>50</v>
      </c>
    </row>
    <row r="3" customFormat="false" ht="15" hidden="false" customHeight="false" outlineLevel="0" collapsed="false">
      <c r="A3" s="9" t="s">
        <v>64</v>
      </c>
      <c r="B3" s="9" t="n">
        <v>7</v>
      </c>
      <c r="C3" s="9" t="s">
        <v>302</v>
      </c>
      <c r="D3" s="9" t="s">
        <v>50</v>
      </c>
    </row>
    <row r="4" customFormat="false" ht="15" hidden="false" customHeight="false" outlineLevel="0" collapsed="false">
      <c r="A4" s="5" t="s">
        <v>303</v>
      </c>
      <c r="B4" s="5" t="n">
        <v>6</v>
      </c>
      <c r="C4" s="5" t="s">
        <v>304</v>
      </c>
      <c r="D4" s="5" t="s">
        <v>124</v>
      </c>
    </row>
    <row r="5" customFormat="false" ht="15" hidden="false" customHeight="false" outlineLevel="0" collapsed="false">
      <c r="A5" s="5" t="s">
        <v>114</v>
      </c>
      <c r="B5" s="5" t="n">
        <v>1</v>
      </c>
      <c r="C5" s="5" t="s">
        <v>305</v>
      </c>
      <c r="D5" s="5" t="s">
        <v>124</v>
      </c>
    </row>
    <row r="6" customFormat="false" ht="15" hidden="false" customHeight="false" outlineLevel="0" collapsed="false">
      <c r="A6" s="5" t="s">
        <v>118</v>
      </c>
      <c r="B6" s="5" t="n">
        <v>0</v>
      </c>
      <c r="C6" s="5" t="s">
        <v>306</v>
      </c>
      <c r="D6" s="5" t="s">
        <v>124</v>
      </c>
    </row>
    <row r="7" customFormat="false" ht="15" hidden="false" customHeight="false" outlineLevel="0" collapsed="false">
      <c r="A7" s="5" t="s">
        <v>158</v>
      </c>
      <c r="B7" s="5" t="n">
        <v>0</v>
      </c>
      <c r="C7" s="5" t="s">
        <v>307</v>
      </c>
      <c r="D7" s="5" t="s">
        <v>124</v>
      </c>
    </row>
    <row r="8" customFormat="false" ht="15" hidden="false" customHeight="false" outlineLevel="0" collapsed="false">
      <c r="A8" s="6" t="s">
        <v>203</v>
      </c>
      <c r="B8" s="6" t="n">
        <v>0</v>
      </c>
      <c r="C8" s="6" t="s">
        <v>308</v>
      </c>
      <c r="D8" s="6" t="s">
        <v>137</v>
      </c>
    </row>
    <row r="9" customFormat="false" ht="15" hidden="false" customHeight="false" outlineLevel="0" collapsed="false">
      <c r="A9" s="6" t="s">
        <v>224</v>
      </c>
      <c r="B9" s="6" t="n">
        <v>0</v>
      </c>
      <c r="C9" s="6" t="s">
        <v>309</v>
      </c>
      <c r="D9" s="6" t="s">
        <v>137</v>
      </c>
    </row>
    <row r="10" customFormat="false" ht="15" hidden="false" customHeight="false" outlineLevel="0" collapsed="false">
      <c r="A10" s="6" t="s">
        <v>236</v>
      </c>
      <c r="B10" s="6" t="n">
        <v>0</v>
      </c>
      <c r="C10" s="6" t="s">
        <v>310</v>
      </c>
      <c r="D10" s="6" t="s">
        <v>137</v>
      </c>
    </row>
    <row r="11" customFormat="false" ht="15" hidden="false" customHeight="false" outlineLevel="0" collapsed="false">
      <c r="A11" s="6" t="s">
        <v>250</v>
      </c>
      <c r="B11" s="6" t="n">
        <v>0</v>
      </c>
      <c r="C11" s="6" t="s">
        <v>311</v>
      </c>
      <c r="D11" s="6" t="s">
        <v>137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2026-04-17T18:11:50Z</dcterms:created>
  <dc:creator>openpyxl</dc:creator>
  <dc:description/>
  <dc:language>en-US</dc:language>
  <cp:lastModifiedBy/>
  <dcterms:modified xsi:type="dcterms:W3CDTF">2026-04-17T18:11:50Z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